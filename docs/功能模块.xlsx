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Code\HuoMa\docs\"/>
    </mc:Choice>
  </mc:AlternateContent>
  <xr:revisionPtr revIDLastSave="0" documentId="13_ncr:1_{86A45E48-92E9-4CED-9CF3-589F943108DF}" xr6:coauthVersionLast="47" xr6:coauthVersionMax="47" xr10:uidLastSave="{00000000-0000-0000-0000-000000000000}"/>
  <bookViews>
    <workbookView xWindow="-135" yWindow="-135" windowWidth="29070" windowHeight="164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7" i="1" l="1"/>
  <c r="G98" i="1"/>
</calcChain>
</file>

<file path=xl/sharedStrings.xml><?xml version="1.0" encoding="utf-8"?>
<sst xmlns="http://schemas.openxmlformats.org/spreadsheetml/2006/main" count="425" uniqueCount="300">
  <si>
    <t>全量功能清单</t>
  </si>
  <si>
    <t>版本：v2.0 | 2026-07-08 | 绿色=客户(C端)可见 | 蓝色=员工(前端)可见 | 灰色=管理员(后台)</t>
  </si>
  <si>
    <t>序号</t>
  </si>
  <si>
    <t>功能模块</t>
  </si>
  <si>
    <t>功能名称</t>
  </si>
  <si>
    <t>功能介绍</t>
  </si>
  <si>
    <t>解决的业务场景问题</t>
  </si>
  <si>
    <t>复杂度</t>
  </si>
  <si>
    <t>可见范围 / 备注</t>
  </si>
  <si>
    <t>预估人日</t>
  </si>
  <si>
    <t>一、活码管理</t>
  </si>
  <si>
    <t>活码手动创建</t>
  </si>
  <si>
    <t>填写学校信息→选择区域/场景/部门→配置企微联系我→轮换模式/预警阈值/欢迎语/表单模板/自定义标签/初始上码人数/学生人数→二维码样式（Logo/主题色/文字/字体）</t>
  </si>
  <si>
    <t>线下书店/学校需要将分散的线下流量引入企微私域，传统方式缺乏统一的数字化入口创建工具，各渠道手工配置效率低、标准不一</t>
  </si>
  <si>
    <t>高</t>
  </si>
  <si>
    <t>管理员  |  核心功能</t>
  </si>
  <si>
    <t>学校名称重复校验</t>
  </si>
  <si>
    <t>前端AJAX + 后端数据库双重校验，防止同一学校重复创建活码</t>
  </si>
  <si>
    <t>同一学校被多人/多次重复创建活码，导致客户分流混乱、接待资源浪费、数据统计失真</t>
  </si>
  <si>
    <t>低</t>
  </si>
  <si>
    <t>管理员  |  含在创建中</t>
  </si>
  <si>
    <t>活码批量导入</t>
  </si>
  <si>
    <t>下载Excel模板→填写→上传→实时进度条→结果反馈（成功/跳过/失败明细），大批量一键导入</t>
  </si>
  <si>
    <t>数百所学校同时上线时，逐一手动创建耗时长、易出错，缺乏规模化上线的批量工具支撑</t>
  </si>
  <si>
    <t>管理员  |  批量工具</t>
  </si>
  <si>
    <t>活码图片合成</t>
  </si>
  <si>
    <t>基于企微原始二维码，叠加Logo/文字/主题色等品牌元素，服务器端中文字体渲染</t>
  </si>
  <si>
    <t>企微原始二维码无品牌标识，客户扫码时缺乏信任感，线下物料无法体现书店品牌形象</t>
  </si>
  <si>
    <t>管理员  |  品牌定制</t>
  </si>
  <si>
    <t>场景化自动计算</t>
  </si>
  <si>
    <t>日常推送（扫码率20%）/ 家长会（扫码率75%），自动按"学生人数×扫码率÷日上限"计算初始接待员数量</t>
  </si>
  <si>
    <t>不同业务场景（日常推送vs家长会）扫码率差异巨大，人工估算接待员数量导致人力浪费或接待能力不足</t>
  </si>
  <si>
    <t>中</t>
  </si>
  <si>
    <t>管理员  |  智能算法</t>
  </si>
  <si>
    <t>活码列表与搜索</t>
  </si>
  <si>
    <t>分页展示，多维度筛选（城市/区县/状态/轮换模式/场景/分组/分类），学校名称模糊搜索，导出Excel</t>
  </si>
  <si>
    <t>活码数量增长到数百个后，平铺列表难以快速定位目标学校，缺乏多维度筛选和批量导出能力</t>
  </si>
  <si>
    <t>管理员  |  管理功能</t>
  </si>
  <si>
    <t>活码树形视图API</t>
  </si>
  <si>
    <t>城市→区县→学校层级JSON树，活码状态颜色标记（绿/黄/红/灰），侧边栏导航</t>
  </si>
  <si>
    <t>数百个活码分布在多个城市/区县，平铺列表无法按地域层级快速导航，运营效率低下</t>
  </si>
  <si>
    <t>管理员  |  含在列表中</t>
  </si>
  <si>
    <t>活码详情-基本信息</t>
  </si>
  <si>
    <t>查看/编辑学校名称/区域/企微配置/欢迎语/样式/轮换模式/预警阈值/场景类型</t>
  </si>
  <si>
    <t>活码配置分散在多个页面，缺少统一的查看和编辑入口，修改配置需要多处切换操作</t>
  </si>
  <si>
    <t>活码详情-接待员管理</t>
  </si>
  <si>
    <t>查看上码员工列表（姓名/角色/日上限/今日已添加/状态/优先级），添加/移除/调整日上限/备选管理</t>
  </si>
  <si>
    <t>一线客服人员变动频繁（入职/离职/调岗），需要灵活调整活码中的接待员配置，否则导致客户分配失败</t>
  </si>
  <si>
    <t>管理员  |  人员配置</t>
  </si>
  <si>
    <t>活码详情-批量回收接待员</t>
  </si>
  <si>
    <t>一键将指定员工在活码下替换为备选，支持多活码批量操作</t>
  </si>
  <si>
    <t>员工离职或调岗时需逐个活码查找并替换，操作量大且容易遗漏，导致客户流向不可用员工</t>
  </si>
  <si>
    <t>管理员  |  运维工具</t>
  </si>
  <si>
    <t>活码详情-员工校验</t>
  </si>
  <si>
    <t>单活码校验 + 全局跨活码批量校验，自动识别不可用员工（离职/禁用/未激活）并一键替换</t>
  </si>
  <si>
    <t>客户扫码后可能被分配给已离职/禁用/未激活的不可用员工，导致客户无法添加、流量白白流失</t>
  </si>
  <si>
    <t>活码操作-暂停/恢复/删除</t>
  </si>
  <si>
    <t>暂停→停止分配，恢复→重新上线，删除→级联清理关联数据</t>
  </si>
  <si>
    <t>寒暑假等非服务期需要暂停服务避免资源浪费，开学季需快速恢复，合作终止需清理关联数据</t>
  </si>
  <si>
    <t>活码操作-同步企微配置</t>
  </si>
  <si>
    <t>将本地员工列表同步到企微联系我配置，确保分配关系一致</t>
  </si>
  <si>
    <t>本地员工列表与企微联系我配置不一致时，分配关系错乱、客户添加失败，需要同步机制保障一致性</t>
  </si>
  <si>
    <t>管理员  |  企微集成</t>
  </si>
  <si>
    <t>活码图片下载</t>
  </si>
  <si>
    <t>单活码PNG下载 + 批量ZIP打包下载</t>
  </si>
  <si>
    <t>线下海报/展架/桌牌等物料制作需要二维码图片文件，逐一截图保存效率低，需批量下载</t>
  </si>
  <si>
    <t>批量操作工具</t>
  </si>
  <si>
    <t>批量修改欢迎语/表单模板/轮换模式/分组/预警阈值/状态/场景/样式，8种批量操作</t>
  </si>
  <si>
    <t>大量活码需统一修改欢迎语/模板/轮换模式等配置，逐一操作耗时巨大，批量修改是日常运维刚需</t>
  </si>
  <si>
    <t>二、员工管理</t>
  </si>
  <si>
    <t>员工列表与筛选</t>
  </si>
  <si>
    <t>分页展示（姓名/手机/部门/角色/日上限/状态），按角色/状态筛选，关键词搜索</t>
  </si>
  <si>
    <t>数十名客服人员的管理缺少统一视图，按角色/状态快速筛选是日常排班和运维的基础需求</t>
  </si>
  <si>
    <t>企微通讯录同步</t>
  </si>
  <si>
    <t>手动触发从企微API全量同步，显示企微侧状态（已激活/禁用/未激活/已离职），每5分钟自动同步</t>
  </si>
  <si>
    <t>员工入职/离职信息手动维护严重滞后，活码分配可能指向已离职员工，客户添加失败造成流量损失</t>
  </si>
  <si>
    <t>四级状态体系</t>
  </si>
  <si>
    <t>normal（正常）→ warning（预警）→ blocked（拦截）→ melted（熔断），分级管控接待能力</t>
  </si>
  <si>
    <t>缺乏分级预警机制，员工日添加量超标后才被动发现，无法主动管控接待风险，易导致员工企微账号被限制</t>
  </si>
  <si>
    <t>管理员  |  风控核心</t>
  </si>
  <si>
    <t>每日计数自动重置</t>
  </si>
  <si>
    <t>凌晨0:00自动清零当日添加数，Redis+数据库同步重置</t>
  </si>
  <si>
    <t>员工日添加上限需每日清零，手工重置易遗漏，导致次日客户分配异常、员工无法接待新客户</t>
  </si>
  <si>
    <t>管理员  |  自动化运维</t>
  </si>
  <si>
    <t>员工一键恢复</t>
  </si>
  <si>
    <t>被拦截/熔断员工一键恢复→自动重新加入全局池→恢复活码分配</t>
  </si>
  <si>
    <t>被风控拦截/熔断的员工恢复流程复杂，需多步骤操作，影响服务连续性和客户响应速度</t>
  </si>
  <si>
    <t>异常员工自动识别</t>
  </si>
  <si>
    <t>自动标注未实名/未加入组织/已停用/已熔断/已离职/未激活/已禁用，前端标签醒目展示</t>
  </si>
  <si>
    <t>人工逐一排查数十名员工状态效率低、易遗漏，异常员工未被及时发现将直接影响客户分配成功率</t>
  </si>
  <si>
    <t>三、高并发负载均衡（中间件）</t>
  </si>
  <si>
    <t>全局员工池管理</t>
  </si>
  <si>
    <t>统一管理所有可分配员工，作为活码分配第一来源，支持设置全局日上限和优先级</t>
  </si>
  <si>
    <t>各活码独立管理接待员导致资源无法共享，A学校接待员空闲时B学校却人手不足，整体资源利用率低</t>
  </si>
  <si>
    <t>管理员  |  架构核心</t>
  </si>
  <si>
    <t>同部门优先分配</t>
  </si>
  <si>
    <t>扩容时优先同企微部门取人→不足时全池补足→按优先级排序</t>
  </si>
  <si>
    <t>扩容时客户被随机分配给不同部门员工，影响服务专业性和客户体验，同部门优先可提升服务匹配度</t>
  </si>
  <si>
    <t>Redis实时计数</t>
  </si>
  <si>
    <t>原子计数器跟踪当日已接待数，达上限自动置为full暂停分配</t>
  </si>
  <si>
    <t>高并发扫码场景下数据库计数成为性能瓶颈，需要内存级原子计数保障毫秒级响应，防止超分配</t>
  </si>
  <si>
    <t>状态驱动分配</t>
  </si>
  <si>
    <t>standby（可分配）→ full（达上限暂停）→ blocked（已拦截禁止），自动流转</t>
  </si>
  <si>
    <t>手工判断员工是否可分配效率低且易出错，需要系统自动根据standby/full/blocked状态驱动分配决策</t>
  </si>
  <si>
    <t>高并发分流算法</t>
  </si>
  <si>
    <t>同一时段大量扫码时智能分流到多个接待员，避免单点过载</t>
  </si>
  <si>
    <t>开学季/家长会等高峰时段大量家长同时扫码，单一接待员被瞬间打爆导致服务中断和客户流失</t>
  </si>
  <si>
    <t>负载均衡</t>
  </si>
  <si>
    <t>基于当前负载动态调整分配权重，余量大的员工优先获得新客户</t>
  </si>
  <si>
    <t>分配不均导致部分员工超负荷而其他员工空闲，资源利用率低且服务质量不稳定，影响客户体验</t>
  </si>
  <si>
    <t>四、客户管理</t>
  </si>
  <si>
    <t>客户列表与搜索</t>
  </si>
  <si>
    <t>分页展示（昵称/来源/添加时间/来源活码/当前归属/状态），多维度筛选，关键词搜索</t>
  </si>
  <si>
    <t>客户数据积累后缺乏统一管理视图，客服无法按来源渠道/当前归属/状态快速检索和筛选客户</t>
  </si>
  <si>
    <t>客户详情</t>
  </si>
  <si>
    <t>查看基本信息/标签/来源活码与学校/首次接待员与当前服务老师/表单提交记录</t>
  </si>
  <si>
    <t>客服需要全面了解客户来源渠道、服务轨迹和表单记录，以便提供个性化和连续性的服务</t>
  </si>
  <si>
    <t>客户数据导出</t>
  </si>
  <si>
    <t>按筛选条件导出Excel CSV（UTF-8 BOM）</t>
  </si>
  <si>
    <t>运营分析和汇报需要导出客户数据进行二次处理，系统内在线查看无法满足数据分析和归档需求</t>
  </si>
  <si>
    <t>客户数据修复</t>
  </si>
  <si>
    <t>修复缺失的学校信息/添加时间等字段，从企微回调数据补全</t>
  </si>
  <si>
    <t>企微回调存在延迟或丢失的可能，导致部分客户数据字段缺失，需要补全机制保障数据完整性</t>
  </si>
  <si>
    <t>六、欢迎语与收集表单</t>
  </si>
  <si>
    <t>C端-移动端表单填写页</t>
  </si>
  <si>
    <t>家长扫码后跳转H5表单页，自适应手机屏幕，动态渲染模板字段（文本/单选/多选/下拉），前端实时校验</t>
  </si>
  <si>
    <t>传统纸质表单填写繁琐、回收周期长、易丢失、数据难以电子化，需要移动端数字化信息采集方案</t>
  </si>
  <si>
    <t>客户(C端)  |  ✦ 客户可见</t>
  </si>
  <si>
    <t>C端-表单提交</t>
  </si>
  <si>
    <t>家长填写后AJAX异步提交，前端+后端双重校验，成功后跳转成功页</t>
  </si>
  <si>
    <t>家长填写后数据需可靠提交和校验，防止信息不完整或重复提交导致后续处理困难</t>
  </si>
  <si>
    <t>C端-学区学校选择</t>
  </si>
  <si>
    <t>学区场景表单页增加"选择学校"下拉，家长选择后数据关联对应学校和服务老师</t>
  </si>
  <si>
    <t>学区场景下家长需要选择对应学校，系统需将表单提交数据与具体学校和服务老师关联匹配</t>
  </si>
  <si>
    <t>C端-提交成功页</t>
  </si>
  <si>
    <t>展示感谢提示+全局联系人兜底二维码，学区场景按选择学校展示对应活码</t>
  </si>
  <si>
    <t>家长提交表单后缺乏明确反馈和下一步引导，可能导致困惑、重复提交或直接关掉页面流失</t>
  </si>
  <si>
    <t>表单模板管理</t>
  </si>
  <si>
    <t>创建/编辑/删除表单模板，多字段类型（文本/多行/单选/多选/下拉），必填/选填设置，字段排序</t>
  </si>
  <si>
    <t>不同业务场景（报名/调查/回访）需要不同表单字段组合，逐一开发成本高、周期长，需要模板化配置</t>
  </si>
  <si>
    <t>管理员  |  表单引擎</t>
  </si>
  <si>
    <t>表单页品牌定制</t>
  </si>
  <si>
    <t>自定义副标题/卡片标题/卡片描述/卡片图片链接，每个模板独立品牌展示</t>
  </si>
  <si>
    <t>统一默认表单样式缺乏品牌识别度，不同学校/场景需要差异化品牌展示以增强客户信任感</t>
  </si>
  <si>
    <t>标签映射规则</t>
  </si>
  <si>
    <t>字段值→标签的JSON映射配置，表单提交后自动打标签</t>
  </si>
  <si>
    <t>表单填写后的关键信息需要人工阅读并手动在企微打标签，效率低、标准不统一，难以规模化</t>
  </si>
  <si>
    <t>管理员  |  自动化处理</t>
  </si>
  <si>
    <t>自动备注模板</t>
  </si>
  <si>
    <t>变量模板语法 {{child_name}}-{{grade}}{{class}}，表单提交后自动写入企微备注</t>
  </si>
  <si>
    <t>客服需手动在企微中为客户写备注（如"张三-三年级2班"），客户量大时逐一编写效率极低</t>
  </si>
  <si>
    <t>三级欢迎语继承链</t>
  </si>
  <si>
    <t>活码→分组→学校分类→系统默认，四级优先级，NULL/空字符串=继承上级，空字符串自动转NULL防阻断</t>
  </si>
  <si>
    <t>不同层级（活码/分组/分类/系统）欢迎语各自独立配置，修改一处需同步多处，维护成本高、容易遗漏或冲突</t>
  </si>
  <si>
    <t>管理员  |  架构设计</t>
  </si>
  <si>
    <t>七、异常告警中心</t>
  </si>
  <si>
    <t>7种告警类型全覆盖</t>
  </si>
  <si>
    <t>blocked(拦截)/melt(熔断)/greeting_fail(欢迎语失败)/low_approval(通过率低)/high_delete(删除率高)/traffic_spike(流量异常)/empty_backup(无备选)</t>
  </si>
  <si>
    <t>问题发生后被动知晓再处理，缺乏主动监控和预警机制，往往是客户已流失才回溯原因，损失已造成</t>
  </si>
  <si>
    <t>管理员  |  监控覆盖</t>
  </si>
  <si>
    <t>告警列表与多维筛选</t>
  </si>
  <si>
    <t>多维度筛选（类型/严重级别/状态/员工/活码），时间范围，分页+实时统计</t>
  </si>
  <si>
    <t>告警积压后难以按类型/严重级别/时间快速定位和处理，处理优先级不清晰，关键告警可能被淹没</t>
  </si>
  <si>
    <t>告警详情查看</t>
  </si>
  <si>
    <t>基本信息+异常详情JSON面板+自动动作记录（暂停/移除/熔断）+处理记录（处理人/时间）</t>
  </si>
  <si>
    <t>告警缺少完整上下文（异常数据详情/自动防护动作/历史处理记录），影响判断准确性和处理效率</t>
  </si>
  <si>
    <t>告警单条/批量解决</t>
  </si>
  <si>
    <t>填写处理人→标记已处理，支持筛选条件批量解决（如一键解决全部low_delete告警）</t>
  </si>
  <si>
    <t>大量同类告警（如批量员工删除率超标）需逐个标记处理，缺少批量解决手段，运维效率低</t>
  </si>
  <si>
    <t>自动巡检Worker</t>
  </si>
  <si>
    <t>每5分钟通过率/删除率/流量异常巡检+活码备选检查，每分钟熔断恢复检查，自动触发告警与防护</t>
  </si>
  <si>
    <t>依赖人工定时检查系统状态无法做到24小时不间断监控，夜间和节假日异常无人及时响应</t>
  </si>
  <si>
    <t>八、数据看板</t>
  </si>
  <si>
    <t>首页概览卡片</t>
  </si>
  <si>
    <t>活码总数（按状态分布）/员工总数/客户总数/今日新增/今日添加/今日继承/活跃告警，实时展示</t>
  </si>
  <si>
    <t>管理层需要登录后一眼看到核心运营数据全貌，无需逐个页面查看，降低决策信息获取成本</t>
  </si>
  <si>
    <t>趋势图表</t>
  </si>
  <si>
    <t>扫码量/添加量/继承量/告警量趋势（Chart.js），按日/周切换，7天/30天</t>
  </si>
  <si>
    <t>只看当日静态数字无法判断业务走势，需要趋势图辅助判断（如扫码量是否在持续下降、告警是否在恶化）</t>
  </si>
  <si>
    <t>管理员  |  数据可视化</t>
  </si>
  <si>
    <t>转化漏斗</t>
  </si>
  <si>
    <t>扫码→添加→表单填写→继承完成，各环节转化率分析，定位流失瓶颈</t>
  </si>
  <si>
    <t>不知道从扫码到完成服务的各环节转化率，无法定位客户流失瓶颈，优化缺乏数据依据</t>
  </si>
  <si>
    <t>管理员  |  数据分析</t>
  </si>
  <si>
    <t>排行榜</t>
  </si>
  <si>
    <t>员工添加Top / 活码扫码Top / 服务老师继承排行</t>
  </si>
  <si>
    <t>缺乏员工和活码维度的绩效可视化，无法有效激励优秀员工或及时发现需要帮扶的人员</t>
  </si>
  <si>
    <t>日报数据导出</t>
  </si>
  <si>
    <t>按日期范围导出Excel（概览+明细），流式导出支持大数据量</t>
  </si>
  <si>
    <t>运营日报需人工从多个页面汇总数据再制作，效率低、易出错，需要系统自动生成和导出</t>
  </si>
  <si>
    <t>十一、学区（活码分组）</t>
  </si>
  <si>
    <t>分组管理</t>
  </si>
  <si>
    <t>创建/编辑/删除学区分组，关联市州+区县，管理学区活码和学校列表，一个活码唯一归属一个学区</t>
  </si>
  <si>
    <t>数百个学校活码需要按学区/片区逻辑组织管理，平铺列表无法体现地理归属关系，运营管理混乱</t>
  </si>
  <si>
    <t>分组配置继承</t>
  </si>
  <si>
    <t>分组默认欢迎语（NULL=继承学校分类或系统默认），分组默认表单模板</t>
  </si>
  <si>
    <t>同一学区的学校通常共享相同的欢迎语和表单策略，逐校重复配置效率低且容易出现不一致</t>
  </si>
  <si>
    <t>管理员  |  灵活配置</t>
  </si>
  <si>
    <t>学区学校列表</t>
  </si>
  <si>
    <t>文本列表维护学区包含的学校，一行一个学校名</t>
  </si>
  <si>
    <t>需要明确每个学区覆盖哪些学校，作为学区运营、数据统计和责任划分的基础依据</t>
  </si>
  <si>
    <t>十二、学校分类管理</t>
  </si>
  <si>
    <t>分类管理</t>
  </si>
  <si>
    <t>创建/编辑/删除学校分类（初中/小学/高中），设置排序/默认欢迎语/默认表单模板</t>
  </si>
  <si>
    <t>小学/初中/高中等不同学段需要差异化的欢迎语和表单策略，统一配置无法满足分学段运营需求</t>
  </si>
  <si>
    <t>学校批量分配</t>
  </si>
  <si>
    <t>选中学校批量归入指定分类，支持从活码列表批量设置</t>
  </si>
  <si>
    <t>大量学校需要批量归类到不同分类（初中/小学/高中），逐一手动分配效率低、易出错</t>
  </si>
  <si>
    <t>欢迎语继承链修复</t>
  </si>
  <si>
    <t>自动将各层级空白欢迎语（空字符串）转为NULL，确保继承链不断</t>
  </si>
  <si>
    <t>历史数据迁移后留有空字符串值，阻断欢迎语继承链，导致部分学校展示空白欢迎语影响客户体验</t>
  </si>
  <si>
    <t>十三、区县负责人</t>
  </si>
  <si>
    <t>负责人管理</t>
  </si>
  <si>
    <t>为每个区县配置一名负责人（企微员工），管理姓名和userid</t>
  </si>
  <si>
    <t>需要明确每个区县的运营负责人，作为问题上报的第一联系人和服务兜底的锚点，避免责任真空</t>
  </si>
  <si>
    <t>负责人活码</t>
  </si>
  <si>
    <t>为负责人创建企微联系我配置和二维码，查看/下载负责人活码</t>
  </si>
  <si>
    <t>当部分学校没有独立活码时，需要区县负责人活码作为兜底，承接该区域的客户流量不流失</t>
  </si>
  <si>
    <t>多级兜底联系体系</t>
  </si>
  <si>
    <t>学校有活码→学校活码；无→区县负责人活码；无→全局联系人，三级保障</t>
  </si>
  <si>
    <t>单一兜底无法满足不同层级的服务需求，需要学校→区县负责人→全局联系人三级保障，确保客户始终有人服务</t>
  </si>
  <si>
    <t>十四、标签系统</t>
  </si>
  <si>
    <t>三来源标签体系</t>
  </si>
  <si>
    <t>（系统自动）+（表单提交）+ （手动创建），多来源客户标签体系</t>
  </si>
  <si>
    <t>单一来源的标签无法支撑精细化客户运营，需要融合系统自动打标、表单提交打标和手动创建三种来源</t>
  </si>
  <si>
    <t>管理员  |  标签引擎</t>
  </si>
  <si>
    <t>标签管理</t>
  </si>
  <si>
    <t>创建/编辑/删除标签，支持层级结构（父子），名称唯一约束，企微tag_id关联同步</t>
  </si>
  <si>
    <t>标签命名混乱、重复创建、无层级结构，缺乏统一管理和企微tag_id关联同步，导致标签体系失控</t>
  </si>
  <si>
    <t>扫码自动打标</t>
  </si>
  <si>
    <t>客户添加时自动打来源学校标签+活码自定义标签，多标签同时打入</t>
  </si>
  <si>
    <t>客户来源信息仅记录在数据库字段中，客服在企微侧无法快速识别客户所属学校/场景，影响沟通效率</t>
  </si>
  <si>
    <t>表单自动打标</t>
  </si>
  <si>
    <t>表单提交后按模板tag_mapping自动打标签，并发安全（INSERT IGNORE+唯一约束）</t>
  </si>
  <si>
    <t>表单中填写的关键信息（如年级、学科偏好）需人工阅读后手动打标签，效率低、延迟大、标准不一</t>
  </si>
  <si>
    <t>客户标签关联</t>
  </si>
  <si>
    <t>多对多关联表记录打标来源和打标时间，唯一约束防重复，完整追溯</t>
  </si>
  <si>
    <t>标签来源和打标时间无法追溯，运营分析缺少完整的数据链路，无法评估不同来源标签的价值</t>
  </si>
  <si>
    <t>管理员  |  数据设计</t>
  </si>
  <si>
    <t>十五、系统管理</t>
  </si>
  <si>
    <t>用户管理</t>
  </si>
  <si>
    <t>系统用户CRUD（用户名/密码/显示名/角色admin|operator），启用/禁用，修改密码，BCrypt加密</t>
  </si>
  <si>
    <t>多人共用同一管理员账号，操作无法追溯到人，权限不分明存在数据安全和误操作隐患</t>
  </si>
  <si>
    <t>管理员  |  安全基础</t>
  </si>
  <si>
    <t>系统配置管理</t>
  </si>
  <si>
    <t>全局配置项键值对管理：默认欢迎语/全局联系人/继承问候语默认值/转接通知默认值等10+项</t>
  </si>
  <si>
    <t>欢迎语/联系人等全局配置硬编码在代码或配置文件中，每次修改需要开发介入、测试和重新部署</t>
  </si>
  <si>
    <t>学校数据管理</t>
  </si>
  <si>
    <t>学校列表（分页+筛选），新增/编辑/删除（软删除），从活码导入，CSV批量导入，活码状态同步</t>
  </si>
  <si>
    <t>学校数据散落在活码/客户/表单等多个模块中，缺少统一的数据管理入口，数据治理困难</t>
  </si>
  <si>
    <t>操作日志审计</t>
  </si>
  <si>
    <t>自动记录关键操作（操作人/操作类型/对象类型/对象ID/详情JSON），按时间/类型/对象筛选</t>
  </si>
  <si>
    <t>关键操作无日志记录，出现问题无法追溯谁在什么时间做了什么操作，影响问题排查和安全审计</t>
  </si>
  <si>
    <t>管理员  |  审计功能</t>
  </si>
  <si>
    <t>Spring Security认证</t>
  </si>
  <si>
    <t>管理后台表单登录，admin/operator角色权限控制，下载中心OAuth认证，学校门户免登录</t>
  </si>
  <si>
    <t>管理后台缺乏访问控制和身份认证，未授权用户可能接触到敏感客户数据或执行破坏性操作</t>
  </si>
  <si>
    <t>十六、企业微信集成</t>
  </si>
  <si>
    <t>企微API客户端</t>
  </si>
  <si>
    <t>Access Token管理（自动获取/缓存/刷新），联系我配置/外部联系人/在职继承/消息推送/备注/标签/通讯录API</t>
  </si>
  <si>
    <t>每次调用企微API需手动管理Access Token的获取、缓存和刷新，重复造轮子且容易因Token过期导致调用失败</t>
  </si>
  <si>
    <t>管理员  |  基础设施</t>
  </si>
  <si>
    <t>回调事件接收处理</t>
  </si>
  <si>
    <t>企微Webhook URL验证+事件推送，XML解密+签名验证，Fast Ack（&lt;20ms），添加/删除客户/继承结果通知</t>
  </si>
  <si>
    <t>无法实时获知企微侧客户添加/删除等事件，数据同步严重滞后，客户状态不一致影响运营决策和服务</t>
  </si>
  <si>
    <t>消息去重与防护</t>
  </si>
  <si>
    <t>基于Redis的消息幂等性保证，防止企微重复推送→重复处理，3次重试+死信队列兜底</t>
  </si>
  <si>
    <t>企微可能因网络抖动等原因重复推送同一事件，不加防护会导致重复处理（重复打标签/重复在职继承）</t>
  </si>
  <si>
    <t>管理员  |  可靠性保障</t>
  </si>
  <si>
    <t>死信队列（DLQ）</t>
  </si>
  <si>
    <t>消费失败3次→落入DLQ，支持按消息类型手动重放到目标Stream（callback/tag/datafill），不丢消息</t>
  </si>
  <si>
    <t>消息消费失败后直接丢弃将导致业务数据永久丢失（如客户添加事件丢失=该客户永远无记录），必须有兜底保存</t>
  </si>
  <si>
    <t>健康监控API</t>
  </si>
  <si>
    <t>Stream队列长度/Pending消息数/DLQ积压量/全局池standby数/Redis连通性，一站式运维监控</t>
  </si>
  <si>
    <t>系统运行异常时缺乏主动发现手段，往往是用户投诉后才知道服务出问题，严重影响业务连续性</t>
  </si>
  <si>
    <t>数据自愈机制</t>
  </si>
  <si>
    <t>自动检测数据不一致（企微侧已删除但DB未同步），自动补全缺失客户数据</t>
  </si>
  <si>
    <t>企微侧数据与本地数据库可能因回调丢失等原因不一致，需人工逐条排查修复，效率低且容易遗漏</t>
  </si>
  <si>
    <t>十八、会议签到系统</t>
  </si>
  <si>
    <t>二维码签核</t>
  </si>
  <si>
    <t>员工扫描动态二维码验证身份，完成签到，系统自动记录签核时间</t>
  </si>
  <si>
    <t>传统纸质签到流程繁琐、排队慢、效率低，且存在代签/冒签等真实性问题，无法满足会议管理要求</t>
  </si>
  <si>
    <t>员工(前端)  |  ✦ 员工可见</t>
  </si>
  <si>
    <t>企微登录验证</t>
  </si>
  <si>
    <t>通过企业微信网页授权登录，验证员工身份，确保签核人身份真实可靠</t>
  </si>
  <si>
    <t>签核场景需要确保操作人身份真实可靠，简单的密码或手工登记无法有效验证员工真实身份</t>
  </si>
  <si>
    <t>通讯录同步</t>
  </si>
  <si>
    <t>同步企业通讯录员工信息，自动匹配签核权限，新员工入职自动开通</t>
  </si>
  <si>
    <t>签核权限需手动维护员工白名单，新员工入职需人工开通、离职需人工撤销，不及时影响签到和安全性</t>
  </si>
  <si>
    <t>合  计</t>
  </si>
  <si>
    <t>🟢C端10  🔵员工7  ⚙️管理93</t>
  </si>
  <si>
    <t>折扣价</t>
  </si>
  <si>
    <t>图例说明：</t>
  </si>
  <si>
    <t>🟢 绿色 = 客户(C端)可见 — 家长/学生在手机前端能直接看到和使用的功能（学校查询门户、收集表单）</t>
  </si>
  <si>
    <t>🔵 蓝色 = 员工(前端)可见 — 一线书店员工在企业微信/扫码前端能直接使用的功能（下载中心、人脸签核）</t>
  </si>
  <si>
    <t>⚙️ 灰色 = 管理员(后台) — 书店管理人员在后台系统中使用的配置与管理功能，客户和一线员工不可见</t>
  </si>
  <si>
    <t>使用提示：</t>
  </si>
  <si>
    <t>1. 黄色列 = 报价填写区，逐项填入后合计自动求和。</t>
  </si>
  <si>
    <t>2. 向客户汇报时，可先展示绿色+蓝色（终端用户可见的价值功能），再展示灰色（后台支撑能力）。</t>
  </si>
  <si>
    <t>3. 可使用Excel筛选"可见范围"列，分别导出各受众的功能清单。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</si>
</sst>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1F386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1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999999"/>
      <name val="微软雅黑"/>
      <family val="2"/>
      <charset val="134"/>
    </font>
    <font>
      <sz val="10"/>
      <color rgb="FF375623"/>
      <name val="微软雅黑"/>
      <family val="2"/>
      <charset val="134"/>
    </font>
    <font>
      <sz val="10"/>
      <color rgb="FFE36C09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b/>
      <sz val="11"/>
      <color rgb="FF375623"/>
      <name val="微软雅黑"/>
      <family val="2"/>
      <charset val="134"/>
    </font>
    <font>
      <sz val="9"/>
      <color rgb="FF375623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color rgb="FF888888"/>
      <name val="微软雅黑"/>
      <family val="2"/>
      <charset val="134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>
      <alignment vertical="center"/>
    </xf>
  </cellStyleXfs>
  <cellXfs count="26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horizontal="center" vertical="center" wrapText="1"/>
    </xf>
    <xf numFmtId="10" fontId="17" fillId="6" borderId="1" xfId="1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  <xf numFmtId="0" fontId="13" fillId="4" borderId="2" xfId="0" applyFont="1" applyFill="1" applyBorder="1" applyAlignment="1">
      <alignment horizontal="left" vertical="center"/>
    </xf>
    <xf numFmtId="0" fontId="0" fillId="0" borderId="0" xfId="0"/>
    <xf numFmtId="0" fontId="19" fillId="0" borderId="0" xfId="0" applyFont="1"/>
    <xf numFmtId="0" fontId="6" fillId="4" borderId="2" xfId="0" applyFont="1" applyFill="1" applyBorder="1" applyAlignment="1">
      <alignment horizontal="left" vertical="center"/>
    </xf>
    <xf numFmtId="0" fontId="18" fillId="0" borderId="0" xfId="0" applyFont="1"/>
    <xf numFmtId="0" fontId="16" fillId="6" borderId="1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selection activeCell="G3" sqref="G3"/>
    </sheetView>
  </sheetViews>
  <sheetFormatPr defaultRowHeight="14.25"/>
  <cols>
    <col min="3" max="3" width="11.5" bestFit="1" customWidth="1"/>
    <col min="4" max="4" width="61" bestFit="1" customWidth="1"/>
    <col min="5" max="5" width="42" customWidth="1"/>
    <col min="7" max="7" width="15.125" bestFit="1" customWidth="1"/>
  </cols>
  <sheetData>
    <row r="1" spans="1:8" ht="39.950000000000003" customHeight="1">
      <c r="A1" s="25" t="s">
        <v>0</v>
      </c>
      <c r="B1" s="17"/>
      <c r="C1" s="17"/>
      <c r="D1" s="17"/>
      <c r="E1" s="17"/>
      <c r="F1" s="17"/>
      <c r="G1" s="17"/>
      <c r="H1" s="17"/>
    </row>
    <row r="2" spans="1:8" ht="21.95" customHeight="1">
      <c r="A2" s="24" t="s">
        <v>1</v>
      </c>
      <c r="B2" s="17"/>
      <c r="C2" s="17"/>
      <c r="D2" s="17"/>
      <c r="E2" s="17"/>
      <c r="F2" s="17"/>
      <c r="G2" s="17"/>
    </row>
    <row r="4" spans="1:8" ht="27.95" customHeight="1">
      <c r="A4" s="1" t="s">
        <v>2</v>
      </c>
      <c r="B4" s="1" t="s">
        <v>3</v>
      </c>
      <c r="C4" s="1" t="s">
        <v>4</v>
      </c>
      <c r="D4" s="1" t="s">
        <v>5</v>
      </c>
      <c r="E4" s="14" t="s">
        <v>6</v>
      </c>
      <c r="F4" s="1" t="s">
        <v>7</v>
      </c>
      <c r="G4" s="1" t="s">
        <v>8</v>
      </c>
      <c r="H4" s="1" t="s">
        <v>9</v>
      </c>
    </row>
    <row r="5" spans="1:8" ht="26.1" customHeight="1">
      <c r="A5" s="19" t="s">
        <v>10</v>
      </c>
      <c r="B5" s="17"/>
      <c r="C5" s="17"/>
      <c r="D5" s="17"/>
      <c r="E5" s="17"/>
      <c r="F5" s="17"/>
      <c r="G5" s="17"/>
      <c r="H5" s="17"/>
    </row>
    <row r="6" spans="1:8" ht="49.5" customHeight="1">
      <c r="A6" s="2">
        <v>1</v>
      </c>
      <c r="B6" s="3"/>
      <c r="C6" s="4" t="s">
        <v>11</v>
      </c>
      <c r="D6" s="5" t="s">
        <v>12</v>
      </c>
      <c r="E6" s="15" t="s">
        <v>13</v>
      </c>
      <c r="F6" s="6" t="s">
        <v>14</v>
      </c>
      <c r="G6" s="7" t="s">
        <v>15</v>
      </c>
      <c r="H6">
        <v>5</v>
      </c>
    </row>
    <row r="7" spans="1:8" ht="36" customHeight="1">
      <c r="A7" s="2">
        <v>2</v>
      </c>
      <c r="B7" s="3"/>
      <c r="C7" s="4" t="s">
        <v>16</v>
      </c>
      <c r="D7" s="5" t="s">
        <v>17</v>
      </c>
      <c r="E7" s="15" t="s">
        <v>18</v>
      </c>
      <c r="F7" s="8" t="s">
        <v>19</v>
      </c>
      <c r="G7" s="7" t="s">
        <v>20</v>
      </c>
      <c r="H7">
        <v>0.5</v>
      </c>
    </row>
    <row r="8" spans="1:8" ht="36" customHeight="1">
      <c r="A8" s="2">
        <v>3</v>
      </c>
      <c r="B8" s="3"/>
      <c r="C8" s="4" t="s">
        <v>21</v>
      </c>
      <c r="D8" s="5" t="s">
        <v>22</v>
      </c>
      <c r="E8" s="15" t="s">
        <v>23</v>
      </c>
      <c r="F8" s="6" t="s">
        <v>14</v>
      </c>
      <c r="G8" s="7" t="s">
        <v>24</v>
      </c>
      <c r="H8">
        <v>4</v>
      </c>
    </row>
    <row r="9" spans="1:8" ht="36" customHeight="1">
      <c r="A9" s="2">
        <v>4</v>
      </c>
      <c r="B9" s="3"/>
      <c r="C9" s="4" t="s">
        <v>25</v>
      </c>
      <c r="D9" s="5" t="s">
        <v>26</v>
      </c>
      <c r="E9" s="15" t="s">
        <v>27</v>
      </c>
      <c r="F9" s="6" t="s">
        <v>14</v>
      </c>
      <c r="G9" s="7" t="s">
        <v>28</v>
      </c>
      <c r="H9">
        <v>5.5</v>
      </c>
    </row>
    <row r="10" spans="1:8" ht="36" customHeight="1">
      <c r="A10" s="2">
        <v>5</v>
      </c>
      <c r="B10" s="3"/>
      <c r="C10" s="4" t="s">
        <v>29</v>
      </c>
      <c r="D10" s="5" t="s">
        <v>30</v>
      </c>
      <c r="E10" s="15" t="s">
        <v>31</v>
      </c>
      <c r="F10" s="9" t="s">
        <v>32</v>
      </c>
      <c r="G10" s="7" t="s">
        <v>33</v>
      </c>
      <c r="H10">
        <v>2</v>
      </c>
    </row>
    <row r="11" spans="1:8" ht="36" customHeight="1">
      <c r="A11" s="2">
        <v>6</v>
      </c>
      <c r="B11" s="3"/>
      <c r="C11" s="4" t="s">
        <v>34</v>
      </c>
      <c r="D11" s="5" t="s">
        <v>35</v>
      </c>
      <c r="E11" s="15" t="s">
        <v>36</v>
      </c>
      <c r="F11" s="9" t="s">
        <v>32</v>
      </c>
      <c r="G11" s="7" t="s">
        <v>37</v>
      </c>
      <c r="H11">
        <v>3</v>
      </c>
    </row>
    <row r="12" spans="1:8" ht="36" customHeight="1">
      <c r="A12" s="2">
        <v>7</v>
      </c>
      <c r="B12" s="3"/>
      <c r="C12" s="4" t="s">
        <v>38</v>
      </c>
      <c r="D12" s="5" t="s">
        <v>39</v>
      </c>
      <c r="E12" s="15" t="s">
        <v>40</v>
      </c>
      <c r="F12" s="9" t="s">
        <v>32</v>
      </c>
      <c r="G12" s="7" t="s">
        <v>41</v>
      </c>
      <c r="H12">
        <v>2</v>
      </c>
    </row>
    <row r="13" spans="1:8" ht="36" customHeight="1">
      <c r="A13" s="2">
        <v>8</v>
      </c>
      <c r="B13" s="3"/>
      <c r="C13" s="4" t="s">
        <v>42</v>
      </c>
      <c r="D13" s="5" t="s">
        <v>43</v>
      </c>
      <c r="E13" s="15" t="s">
        <v>44</v>
      </c>
      <c r="F13" s="9" t="s">
        <v>32</v>
      </c>
      <c r="G13" s="7" t="s">
        <v>37</v>
      </c>
      <c r="H13">
        <v>2.5</v>
      </c>
    </row>
    <row r="14" spans="1:8" ht="36" customHeight="1">
      <c r="A14" s="2">
        <v>9</v>
      </c>
      <c r="B14" s="3"/>
      <c r="C14" s="4" t="s">
        <v>45</v>
      </c>
      <c r="D14" s="5" t="s">
        <v>46</v>
      </c>
      <c r="E14" s="15" t="s">
        <v>47</v>
      </c>
      <c r="F14" s="6" t="s">
        <v>14</v>
      </c>
      <c r="G14" s="7" t="s">
        <v>48</v>
      </c>
      <c r="H14">
        <v>5</v>
      </c>
    </row>
    <row r="15" spans="1:8" ht="36" customHeight="1">
      <c r="A15" s="2">
        <v>10</v>
      </c>
      <c r="B15" s="3"/>
      <c r="C15" s="4" t="s">
        <v>49</v>
      </c>
      <c r="D15" s="5" t="s">
        <v>50</v>
      </c>
      <c r="E15" s="15" t="s">
        <v>51</v>
      </c>
      <c r="F15" s="9" t="s">
        <v>32</v>
      </c>
      <c r="G15" s="7" t="s">
        <v>52</v>
      </c>
      <c r="H15">
        <v>2.5</v>
      </c>
    </row>
    <row r="16" spans="1:8" ht="36" customHeight="1">
      <c r="A16" s="2">
        <v>11</v>
      </c>
      <c r="B16" s="3"/>
      <c r="C16" s="4" t="s">
        <v>53</v>
      </c>
      <c r="D16" s="5" t="s">
        <v>54</v>
      </c>
      <c r="E16" s="15" t="s">
        <v>55</v>
      </c>
      <c r="F16" s="6" t="s">
        <v>14</v>
      </c>
      <c r="G16" s="7" t="s">
        <v>52</v>
      </c>
      <c r="H16">
        <v>4.5</v>
      </c>
    </row>
    <row r="17" spans="1:8" ht="36" customHeight="1">
      <c r="A17" s="2">
        <v>12</v>
      </c>
      <c r="B17" s="3"/>
      <c r="C17" s="4" t="s">
        <v>56</v>
      </c>
      <c r="D17" s="5" t="s">
        <v>57</v>
      </c>
      <c r="E17" s="15" t="s">
        <v>58</v>
      </c>
      <c r="F17" s="9" t="s">
        <v>32</v>
      </c>
      <c r="G17" s="7" t="s">
        <v>37</v>
      </c>
      <c r="H17">
        <v>2</v>
      </c>
    </row>
    <row r="18" spans="1:8" ht="36" customHeight="1">
      <c r="A18" s="2">
        <v>13</v>
      </c>
      <c r="B18" s="3"/>
      <c r="C18" s="4" t="s">
        <v>59</v>
      </c>
      <c r="D18" s="5" t="s">
        <v>60</v>
      </c>
      <c r="E18" s="15" t="s">
        <v>61</v>
      </c>
      <c r="F18" s="9" t="s">
        <v>32</v>
      </c>
      <c r="G18" s="7" t="s">
        <v>62</v>
      </c>
      <c r="H18">
        <v>3</v>
      </c>
    </row>
    <row r="19" spans="1:8" ht="36" customHeight="1">
      <c r="A19" s="2">
        <v>14</v>
      </c>
      <c r="B19" s="3"/>
      <c r="C19" s="4" t="s">
        <v>63</v>
      </c>
      <c r="D19" s="5" t="s">
        <v>64</v>
      </c>
      <c r="E19" s="15" t="s">
        <v>65</v>
      </c>
      <c r="F19" s="9" t="s">
        <v>32</v>
      </c>
      <c r="G19" s="7" t="s">
        <v>37</v>
      </c>
      <c r="H19">
        <v>2</v>
      </c>
    </row>
    <row r="20" spans="1:8" ht="36" customHeight="1">
      <c r="A20" s="2">
        <v>15</v>
      </c>
      <c r="B20" s="3"/>
      <c r="C20" s="4" t="s">
        <v>66</v>
      </c>
      <c r="D20" s="5" t="s">
        <v>67</v>
      </c>
      <c r="E20" s="15" t="s">
        <v>68</v>
      </c>
      <c r="F20" s="6" t="s">
        <v>14</v>
      </c>
      <c r="G20" s="7" t="s">
        <v>24</v>
      </c>
      <c r="H20">
        <v>5.5</v>
      </c>
    </row>
    <row r="21" spans="1:8" ht="26.1" customHeight="1">
      <c r="A21" s="16" t="s">
        <v>69</v>
      </c>
      <c r="B21" s="17"/>
      <c r="C21" s="17"/>
      <c r="D21" s="17"/>
      <c r="E21" s="17"/>
      <c r="F21" s="17"/>
      <c r="G21" s="17"/>
      <c r="H21" s="17"/>
    </row>
    <row r="22" spans="1:8" ht="36" customHeight="1">
      <c r="A22" s="2">
        <v>16</v>
      </c>
      <c r="B22" s="3"/>
      <c r="C22" s="4" t="s">
        <v>70</v>
      </c>
      <c r="D22" s="5" t="s">
        <v>71</v>
      </c>
      <c r="E22" s="15" t="s">
        <v>72</v>
      </c>
      <c r="F22" s="9" t="s">
        <v>32</v>
      </c>
      <c r="G22" s="7" t="s">
        <v>37</v>
      </c>
      <c r="H22">
        <v>2.5</v>
      </c>
    </row>
    <row r="23" spans="1:8" ht="36" customHeight="1">
      <c r="A23" s="2">
        <v>17</v>
      </c>
      <c r="B23" s="3"/>
      <c r="C23" s="4" t="s">
        <v>73</v>
      </c>
      <c r="D23" s="5" t="s">
        <v>74</v>
      </c>
      <c r="E23" s="15" t="s">
        <v>75</v>
      </c>
      <c r="F23" s="9" t="s">
        <v>32</v>
      </c>
      <c r="G23" s="7" t="s">
        <v>62</v>
      </c>
      <c r="H23">
        <v>4</v>
      </c>
    </row>
    <row r="24" spans="1:8" ht="36" customHeight="1">
      <c r="A24" s="2">
        <v>18</v>
      </c>
      <c r="B24" s="3"/>
      <c r="C24" s="4" t="s">
        <v>76</v>
      </c>
      <c r="D24" s="5" t="s">
        <v>77</v>
      </c>
      <c r="E24" s="15" t="s">
        <v>78</v>
      </c>
      <c r="F24" s="6" t="s">
        <v>14</v>
      </c>
      <c r="G24" s="7" t="s">
        <v>79</v>
      </c>
      <c r="H24">
        <v>6</v>
      </c>
    </row>
    <row r="25" spans="1:8" ht="36" customHeight="1">
      <c r="A25" s="2">
        <v>19</v>
      </c>
      <c r="B25" s="3"/>
      <c r="C25" s="4" t="s">
        <v>80</v>
      </c>
      <c r="D25" s="5" t="s">
        <v>81</v>
      </c>
      <c r="E25" s="15" t="s">
        <v>82</v>
      </c>
      <c r="F25" s="9" t="s">
        <v>32</v>
      </c>
      <c r="G25" s="7" t="s">
        <v>83</v>
      </c>
      <c r="H25">
        <v>2</v>
      </c>
    </row>
    <row r="26" spans="1:8" ht="36" customHeight="1">
      <c r="A26" s="2">
        <v>20</v>
      </c>
      <c r="B26" s="3"/>
      <c r="C26" s="4" t="s">
        <v>84</v>
      </c>
      <c r="D26" s="5" t="s">
        <v>85</v>
      </c>
      <c r="E26" s="15" t="s">
        <v>86</v>
      </c>
      <c r="F26" s="9" t="s">
        <v>32</v>
      </c>
      <c r="G26" s="7" t="s">
        <v>52</v>
      </c>
      <c r="H26">
        <v>2</v>
      </c>
    </row>
    <row r="27" spans="1:8" ht="36" customHeight="1">
      <c r="A27" s="2">
        <v>21</v>
      </c>
      <c r="B27" s="3"/>
      <c r="C27" s="4" t="s">
        <v>87</v>
      </c>
      <c r="D27" s="5" t="s">
        <v>88</v>
      </c>
      <c r="E27" s="15" t="s">
        <v>89</v>
      </c>
      <c r="F27" s="9" t="s">
        <v>32</v>
      </c>
      <c r="G27" s="7" t="s">
        <v>79</v>
      </c>
      <c r="H27">
        <v>3</v>
      </c>
    </row>
    <row r="28" spans="1:8" ht="26.1" customHeight="1">
      <c r="A28" s="16" t="s">
        <v>90</v>
      </c>
      <c r="B28" s="17"/>
      <c r="C28" s="17"/>
      <c r="D28" s="17"/>
      <c r="E28" s="17"/>
      <c r="F28" s="17"/>
      <c r="G28" s="17"/>
      <c r="H28" s="17"/>
    </row>
    <row r="29" spans="1:8" ht="36" customHeight="1">
      <c r="A29" s="2">
        <v>22</v>
      </c>
      <c r="B29" s="3"/>
      <c r="C29" s="4" t="s">
        <v>91</v>
      </c>
      <c r="D29" s="5" t="s">
        <v>92</v>
      </c>
      <c r="E29" s="15" t="s">
        <v>93</v>
      </c>
      <c r="F29" s="9" t="s">
        <v>32</v>
      </c>
      <c r="G29" s="7" t="s">
        <v>94</v>
      </c>
      <c r="H29">
        <v>3.5</v>
      </c>
    </row>
    <row r="30" spans="1:8" ht="36" customHeight="1">
      <c r="A30" s="2">
        <v>23</v>
      </c>
      <c r="B30" s="3"/>
      <c r="C30" s="4" t="s">
        <v>95</v>
      </c>
      <c r="D30" s="5" t="s">
        <v>96</v>
      </c>
      <c r="E30" s="15" t="s">
        <v>97</v>
      </c>
      <c r="F30" s="9" t="s">
        <v>32</v>
      </c>
      <c r="G30" s="7" t="s">
        <v>33</v>
      </c>
      <c r="H30">
        <v>3</v>
      </c>
    </row>
    <row r="31" spans="1:8" ht="36" customHeight="1">
      <c r="A31" s="2">
        <v>24</v>
      </c>
      <c r="B31" s="3"/>
      <c r="C31" s="4" t="s">
        <v>98</v>
      </c>
      <c r="D31" s="5" t="s">
        <v>99</v>
      </c>
      <c r="E31" s="15" t="s">
        <v>100</v>
      </c>
      <c r="F31" s="9" t="s">
        <v>32</v>
      </c>
      <c r="G31" s="7" t="s">
        <v>83</v>
      </c>
      <c r="H31">
        <v>2.5</v>
      </c>
    </row>
    <row r="32" spans="1:8" ht="36" customHeight="1">
      <c r="A32" s="2">
        <v>25</v>
      </c>
      <c r="B32" s="3"/>
      <c r="C32" s="4" t="s">
        <v>101</v>
      </c>
      <c r="D32" s="5" t="s">
        <v>102</v>
      </c>
      <c r="E32" s="15" t="s">
        <v>103</v>
      </c>
      <c r="F32" s="9" t="s">
        <v>32</v>
      </c>
      <c r="G32" s="7" t="s">
        <v>83</v>
      </c>
      <c r="H32">
        <v>2.5</v>
      </c>
    </row>
    <row r="33" spans="1:8" ht="36" customHeight="1">
      <c r="A33" s="2">
        <v>26</v>
      </c>
      <c r="B33" s="3"/>
      <c r="C33" s="4" t="s">
        <v>104</v>
      </c>
      <c r="D33" s="5" t="s">
        <v>105</v>
      </c>
      <c r="E33" s="15" t="s">
        <v>106</v>
      </c>
      <c r="F33" s="6" t="s">
        <v>14</v>
      </c>
      <c r="G33" s="7" t="s">
        <v>33</v>
      </c>
      <c r="H33">
        <v>6</v>
      </c>
    </row>
    <row r="34" spans="1:8" ht="36" customHeight="1">
      <c r="A34" s="2">
        <v>27</v>
      </c>
      <c r="B34" s="3"/>
      <c r="C34" s="4" t="s">
        <v>107</v>
      </c>
      <c r="D34" s="5" t="s">
        <v>108</v>
      </c>
      <c r="E34" s="15" t="s">
        <v>109</v>
      </c>
      <c r="F34" s="6" t="s">
        <v>14</v>
      </c>
      <c r="G34" s="7" t="s">
        <v>33</v>
      </c>
      <c r="H34">
        <v>6</v>
      </c>
    </row>
    <row r="35" spans="1:8" ht="26.1" customHeight="1">
      <c r="A35" s="16" t="s">
        <v>110</v>
      </c>
      <c r="B35" s="17"/>
      <c r="C35" s="17"/>
      <c r="D35" s="17"/>
      <c r="E35" s="17"/>
      <c r="F35" s="17"/>
      <c r="G35" s="17"/>
      <c r="H35" s="17"/>
    </row>
    <row r="36" spans="1:8" ht="36" customHeight="1">
      <c r="A36" s="2">
        <v>28</v>
      </c>
      <c r="B36" s="3"/>
      <c r="C36" s="4" t="s">
        <v>111</v>
      </c>
      <c r="D36" s="5" t="s">
        <v>112</v>
      </c>
      <c r="E36" s="15" t="s">
        <v>113</v>
      </c>
      <c r="F36" s="9" t="s">
        <v>32</v>
      </c>
      <c r="G36" s="7" t="s">
        <v>37</v>
      </c>
      <c r="H36">
        <v>3</v>
      </c>
    </row>
    <row r="37" spans="1:8" ht="36" customHeight="1">
      <c r="A37" s="2">
        <v>29</v>
      </c>
      <c r="B37" s="3"/>
      <c r="C37" s="4" t="s">
        <v>114</v>
      </c>
      <c r="D37" s="5" t="s">
        <v>115</v>
      </c>
      <c r="E37" s="15" t="s">
        <v>116</v>
      </c>
      <c r="F37" s="9" t="s">
        <v>32</v>
      </c>
      <c r="G37" s="7" t="s">
        <v>37</v>
      </c>
      <c r="H37">
        <v>2.5</v>
      </c>
    </row>
    <row r="38" spans="1:8" ht="36" customHeight="1">
      <c r="A38" s="2">
        <v>30</v>
      </c>
      <c r="B38" s="3"/>
      <c r="C38" s="4" t="s">
        <v>117</v>
      </c>
      <c r="D38" s="5" t="s">
        <v>118</v>
      </c>
      <c r="E38" s="15" t="s">
        <v>119</v>
      </c>
      <c r="F38" s="9" t="s">
        <v>32</v>
      </c>
      <c r="G38" s="7" t="s">
        <v>37</v>
      </c>
      <c r="H38">
        <v>2</v>
      </c>
    </row>
    <row r="39" spans="1:8" ht="36" customHeight="1">
      <c r="A39" s="2">
        <v>31</v>
      </c>
      <c r="B39" s="3"/>
      <c r="C39" s="4" t="s">
        <v>120</v>
      </c>
      <c r="D39" s="5" t="s">
        <v>121</v>
      </c>
      <c r="E39" s="15" t="s">
        <v>122</v>
      </c>
      <c r="F39" s="9" t="s">
        <v>32</v>
      </c>
      <c r="G39" s="7" t="s">
        <v>52</v>
      </c>
      <c r="H39">
        <v>2.5</v>
      </c>
    </row>
    <row r="40" spans="1:8" ht="26.1" customHeight="1">
      <c r="A40" s="16" t="s">
        <v>123</v>
      </c>
      <c r="B40" s="17"/>
      <c r="C40" s="17"/>
      <c r="D40" s="17"/>
      <c r="E40" s="17"/>
      <c r="F40" s="17"/>
      <c r="G40" s="17"/>
      <c r="H40" s="17"/>
    </row>
    <row r="41" spans="1:8" ht="36" customHeight="1">
      <c r="A41" s="2">
        <v>32</v>
      </c>
      <c r="B41" s="3"/>
      <c r="C41" s="4" t="s">
        <v>124</v>
      </c>
      <c r="D41" s="5" t="s">
        <v>125</v>
      </c>
      <c r="E41" s="15" t="s">
        <v>126</v>
      </c>
      <c r="F41" s="6" t="s">
        <v>14</v>
      </c>
      <c r="G41" s="10" t="s">
        <v>127</v>
      </c>
      <c r="H41">
        <v>7</v>
      </c>
    </row>
    <row r="42" spans="1:8" ht="36" customHeight="1">
      <c r="A42" s="2">
        <v>33</v>
      </c>
      <c r="B42" s="3"/>
      <c r="C42" s="4" t="s">
        <v>128</v>
      </c>
      <c r="D42" s="5" t="s">
        <v>129</v>
      </c>
      <c r="E42" s="15" t="s">
        <v>130</v>
      </c>
      <c r="F42" s="9" t="s">
        <v>32</v>
      </c>
      <c r="G42" s="10" t="s">
        <v>127</v>
      </c>
      <c r="H42">
        <v>2.5</v>
      </c>
    </row>
    <row r="43" spans="1:8" ht="36" customHeight="1">
      <c r="A43" s="2">
        <v>34</v>
      </c>
      <c r="B43" s="3"/>
      <c r="C43" s="4" t="s">
        <v>131</v>
      </c>
      <c r="D43" s="5" t="s">
        <v>132</v>
      </c>
      <c r="E43" s="15" t="s">
        <v>133</v>
      </c>
      <c r="F43" s="9" t="s">
        <v>32</v>
      </c>
      <c r="G43" s="10" t="s">
        <v>127</v>
      </c>
      <c r="H43">
        <v>2</v>
      </c>
    </row>
    <row r="44" spans="1:8" ht="36" customHeight="1">
      <c r="A44" s="2">
        <v>35</v>
      </c>
      <c r="B44" s="3"/>
      <c r="C44" s="4" t="s">
        <v>134</v>
      </c>
      <c r="D44" s="5" t="s">
        <v>135</v>
      </c>
      <c r="E44" s="15" t="s">
        <v>136</v>
      </c>
      <c r="F44" s="8" t="s">
        <v>19</v>
      </c>
      <c r="G44" s="10" t="s">
        <v>127</v>
      </c>
      <c r="H44">
        <v>1</v>
      </c>
    </row>
    <row r="45" spans="1:8" ht="36" customHeight="1">
      <c r="A45" s="2">
        <v>36</v>
      </c>
      <c r="B45" s="3"/>
      <c r="C45" s="4" t="s">
        <v>137</v>
      </c>
      <c r="D45" s="5" t="s">
        <v>138</v>
      </c>
      <c r="E45" s="15" t="s">
        <v>139</v>
      </c>
      <c r="F45" s="6" t="s">
        <v>14</v>
      </c>
      <c r="G45" s="7" t="s">
        <v>140</v>
      </c>
      <c r="H45">
        <v>8</v>
      </c>
    </row>
    <row r="46" spans="1:8" ht="36" customHeight="1">
      <c r="A46" s="2">
        <v>37</v>
      </c>
      <c r="B46" s="3"/>
      <c r="C46" s="4" t="s">
        <v>141</v>
      </c>
      <c r="D46" s="5" t="s">
        <v>142</v>
      </c>
      <c r="E46" s="15" t="s">
        <v>143</v>
      </c>
      <c r="F46" s="9" t="s">
        <v>32</v>
      </c>
      <c r="G46" s="7" t="s">
        <v>28</v>
      </c>
      <c r="H46">
        <v>2.5</v>
      </c>
    </row>
    <row r="47" spans="1:8" ht="36" customHeight="1">
      <c r="A47" s="2">
        <v>38</v>
      </c>
      <c r="B47" s="3"/>
      <c r="C47" s="4" t="s">
        <v>144</v>
      </c>
      <c r="D47" s="5" t="s">
        <v>145</v>
      </c>
      <c r="E47" s="15" t="s">
        <v>146</v>
      </c>
      <c r="F47" s="6" t="s">
        <v>14</v>
      </c>
      <c r="G47" s="7" t="s">
        <v>147</v>
      </c>
      <c r="H47">
        <v>4</v>
      </c>
    </row>
    <row r="48" spans="1:8" ht="36" customHeight="1">
      <c r="A48" s="2">
        <v>39</v>
      </c>
      <c r="B48" s="3"/>
      <c r="C48" s="4" t="s">
        <v>148</v>
      </c>
      <c r="D48" s="5" t="s">
        <v>149</v>
      </c>
      <c r="E48" s="15" t="s">
        <v>150</v>
      </c>
      <c r="F48" s="9" t="s">
        <v>32</v>
      </c>
      <c r="G48" s="7" t="s">
        <v>147</v>
      </c>
      <c r="H48">
        <v>3</v>
      </c>
    </row>
    <row r="49" spans="1:8" ht="36" customHeight="1">
      <c r="A49" s="2">
        <v>40</v>
      </c>
      <c r="B49" s="3"/>
      <c r="C49" s="4" t="s">
        <v>151</v>
      </c>
      <c r="D49" s="5" t="s">
        <v>152</v>
      </c>
      <c r="E49" s="15" t="s">
        <v>153</v>
      </c>
      <c r="F49" s="6" t="s">
        <v>14</v>
      </c>
      <c r="G49" s="7" t="s">
        <v>154</v>
      </c>
      <c r="H49">
        <v>5.5</v>
      </c>
    </row>
    <row r="50" spans="1:8" ht="26.1" customHeight="1">
      <c r="A50" s="16" t="s">
        <v>155</v>
      </c>
      <c r="B50" s="17"/>
      <c r="C50" s="17"/>
      <c r="D50" s="17"/>
      <c r="E50" s="17"/>
      <c r="F50" s="17"/>
      <c r="G50" s="17"/>
      <c r="H50" s="17"/>
    </row>
    <row r="51" spans="1:8" ht="42" customHeight="1">
      <c r="A51" s="2">
        <v>41</v>
      </c>
      <c r="B51" s="3"/>
      <c r="C51" s="4" t="s">
        <v>156</v>
      </c>
      <c r="D51" s="5" t="s">
        <v>157</v>
      </c>
      <c r="E51" s="15" t="s">
        <v>158</v>
      </c>
      <c r="F51" s="6" t="s">
        <v>14</v>
      </c>
      <c r="G51" s="7" t="s">
        <v>159</v>
      </c>
      <c r="H51">
        <v>7</v>
      </c>
    </row>
    <row r="52" spans="1:8" ht="36" customHeight="1">
      <c r="A52" s="2">
        <v>42</v>
      </c>
      <c r="B52" s="3"/>
      <c r="C52" s="4" t="s">
        <v>160</v>
      </c>
      <c r="D52" s="5" t="s">
        <v>161</v>
      </c>
      <c r="E52" s="15" t="s">
        <v>162</v>
      </c>
      <c r="F52" s="9" t="s">
        <v>32</v>
      </c>
      <c r="G52" s="7" t="s">
        <v>37</v>
      </c>
      <c r="H52">
        <v>3</v>
      </c>
    </row>
    <row r="53" spans="1:8" ht="36" customHeight="1">
      <c r="A53" s="2">
        <v>43</v>
      </c>
      <c r="B53" s="3"/>
      <c r="C53" s="4" t="s">
        <v>163</v>
      </c>
      <c r="D53" s="5" t="s">
        <v>164</v>
      </c>
      <c r="E53" s="15" t="s">
        <v>165</v>
      </c>
      <c r="F53" s="9" t="s">
        <v>32</v>
      </c>
      <c r="G53" s="7" t="s">
        <v>37</v>
      </c>
      <c r="H53">
        <v>2.5</v>
      </c>
    </row>
    <row r="54" spans="1:8" ht="36" customHeight="1">
      <c r="A54" s="2">
        <v>44</v>
      </c>
      <c r="B54" s="3"/>
      <c r="C54" s="4" t="s">
        <v>166</v>
      </c>
      <c r="D54" s="5" t="s">
        <v>167</v>
      </c>
      <c r="E54" s="15" t="s">
        <v>168</v>
      </c>
      <c r="F54" s="9" t="s">
        <v>32</v>
      </c>
      <c r="G54" s="7" t="s">
        <v>37</v>
      </c>
      <c r="H54">
        <v>3</v>
      </c>
    </row>
    <row r="55" spans="1:8" ht="36" customHeight="1">
      <c r="A55" s="2">
        <v>45</v>
      </c>
      <c r="B55" s="3"/>
      <c r="C55" s="4" t="s">
        <v>169</v>
      </c>
      <c r="D55" s="5" t="s">
        <v>170</v>
      </c>
      <c r="E55" s="15" t="s">
        <v>171</v>
      </c>
      <c r="F55" s="6" t="s">
        <v>14</v>
      </c>
      <c r="G55" s="7" t="s">
        <v>83</v>
      </c>
      <c r="H55">
        <v>6</v>
      </c>
    </row>
    <row r="56" spans="1:8" ht="26.1" customHeight="1">
      <c r="A56" s="16" t="s">
        <v>172</v>
      </c>
      <c r="B56" s="17"/>
      <c r="C56" s="17"/>
      <c r="D56" s="17"/>
      <c r="E56" s="17"/>
      <c r="F56" s="17"/>
      <c r="G56" s="17"/>
      <c r="H56" s="17"/>
    </row>
    <row r="57" spans="1:8" ht="36" customHeight="1">
      <c r="A57" s="2">
        <v>46</v>
      </c>
      <c r="B57" s="3"/>
      <c r="C57" s="4" t="s">
        <v>173</v>
      </c>
      <c r="D57" s="5" t="s">
        <v>174</v>
      </c>
      <c r="E57" s="15" t="s">
        <v>175</v>
      </c>
      <c r="F57" s="9" t="s">
        <v>32</v>
      </c>
      <c r="G57" s="7" t="s">
        <v>37</v>
      </c>
      <c r="H57">
        <v>3</v>
      </c>
    </row>
    <row r="58" spans="1:8" ht="36" customHeight="1">
      <c r="A58" s="2">
        <v>47</v>
      </c>
      <c r="B58" s="3"/>
      <c r="C58" s="4" t="s">
        <v>176</v>
      </c>
      <c r="D58" s="5" t="s">
        <v>177</v>
      </c>
      <c r="E58" s="15" t="s">
        <v>178</v>
      </c>
      <c r="F58" s="9" t="s">
        <v>32</v>
      </c>
      <c r="G58" s="7" t="s">
        <v>179</v>
      </c>
      <c r="H58">
        <v>4</v>
      </c>
    </row>
    <row r="59" spans="1:8" ht="36" customHeight="1">
      <c r="A59" s="2">
        <v>48</v>
      </c>
      <c r="B59" s="3"/>
      <c r="C59" s="4" t="s">
        <v>180</v>
      </c>
      <c r="D59" s="5" t="s">
        <v>181</v>
      </c>
      <c r="E59" s="15" t="s">
        <v>182</v>
      </c>
      <c r="F59" s="9" t="s">
        <v>32</v>
      </c>
      <c r="G59" s="7" t="s">
        <v>183</v>
      </c>
      <c r="H59">
        <v>3.5</v>
      </c>
    </row>
    <row r="60" spans="1:8" ht="36" customHeight="1">
      <c r="A60" s="2">
        <v>49</v>
      </c>
      <c r="B60" s="3"/>
      <c r="C60" s="4" t="s">
        <v>184</v>
      </c>
      <c r="D60" s="5" t="s">
        <v>185</v>
      </c>
      <c r="E60" s="15" t="s">
        <v>186</v>
      </c>
      <c r="F60" s="9" t="s">
        <v>32</v>
      </c>
      <c r="G60" s="7" t="s">
        <v>183</v>
      </c>
      <c r="H60">
        <v>2.5</v>
      </c>
    </row>
    <row r="61" spans="1:8" ht="36" customHeight="1">
      <c r="A61" s="2">
        <v>50</v>
      </c>
      <c r="B61" s="3"/>
      <c r="C61" s="4" t="s">
        <v>187</v>
      </c>
      <c r="D61" s="5" t="s">
        <v>188</v>
      </c>
      <c r="E61" s="15" t="s">
        <v>189</v>
      </c>
      <c r="F61" s="9" t="s">
        <v>32</v>
      </c>
      <c r="G61" s="7" t="s">
        <v>37</v>
      </c>
      <c r="H61">
        <v>3</v>
      </c>
    </row>
    <row r="62" spans="1:8" ht="26.1" customHeight="1">
      <c r="A62" s="16" t="s">
        <v>190</v>
      </c>
      <c r="B62" s="17"/>
      <c r="C62" s="17"/>
      <c r="D62" s="17"/>
      <c r="E62" s="17"/>
      <c r="F62" s="17"/>
      <c r="G62" s="17"/>
      <c r="H62" s="17"/>
    </row>
    <row r="63" spans="1:8" ht="36" customHeight="1">
      <c r="A63" s="2">
        <v>51</v>
      </c>
      <c r="B63" s="3"/>
      <c r="C63" s="4" t="s">
        <v>191</v>
      </c>
      <c r="D63" s="5" t="s">
        <v>192</v>
      </c>
      <c r="E63" s="15" t="s">
        <v>193</v>
      </c>
      <c r="F63" s="9" t="s">
        <v>32</v>
      </c>
      <c r="G63" s="7" t="s">
        <v>37</v>
      </c>
      <c r="H63">
        <v>2.5</v>
      </c>
    </row>
    <row r="64" spans="1:8" ht="36" customHeight="1">
      <c r="A64" s="2">
        <v>52</v>
      </c>
      <c r="B64" s="3"/>
      <c r="C64" s="4" t="s">
        <v>194</v>
      </c>
      <c r="D64" s="5" t="s">
        <v>195</v>
      </c>
      <c r="E64" s="15" t="s">
        <v>196</v>
      </c>
      <c r="F64" s="9" t="s">
        <v>32</v>
      </c>
      <c r="G64" s="7" t="s">
        <v>197</v>
      </c>
      <c r="H64">
        <v>2.5</v>
      </c>
    </row>
    <row r="65" spans="1:8" ht="36" customHeight="1">
      <c r="A65" s="2">
        <v>53</v>
      </c>
      <c r="B65" s="3"/>
      <c r="C65" s="4" t="s">
        <v>198</v>
      </c>
      <c r="D65" s="5" t="s">
        <v>199</v>
      </c>
      <c r="E65" s="15" t="s">
        <v>200</v>
      </c>
      <c r="F65" s="8" t="s">
        <v>19</v>
      </c>
      <c r="G65" s="7" t="s">
        <v>37</v>
      </c>
      <c r="H65">
        <v>1</v>
      </c>
    </row>
    <row r="66" spans="1:8" ht="26.1" customHeight="1">
      <c r="A66" s="16" t="s">
        <v>201</v>
      </c>
      <c r="B66" s="17"/>
      <c r="C66" s="17"/>
      <c r="D66" s="17"/>
      <c r="E66" s="17"/>
      <c r="F66" s="17"/>
      <c r="G66" s="17"/>
      <c r="H66" s="17"/>
    </row>
    <row r="67" spans="1:8" ht="36" customHeight="1">
      <c r="A67" s="2">
        <v>54</v>
      </c>
      <c r="B67" s="3"/>
      <c r="C67" s="4" t="s">
        <v>202</v>
      </c>
      <c r="D67" s="5" t="s">
        <v>203</v>
      </c>
      <c r="E67" s="15" t="s">
        <v>204</v>
      </c>
      <c r="F67" s="9" t="s">
        <v>32</v>
      </c>
      <c r="G67" s="7" t="s">
        <v>37</v>
      </c>
      <c r="H67">
        <v>2</v>
      </c>
    </row>
    <row r="68" spans="1:8" ht="36" customHeight="1">
      <c r="A68" s="2">
        <v>55</v>
      </c>
      <c r="B68" s="3"/>
      <c r="C68" s="4" t="s">
        <v>205</v>
      </c>
      <c r="D68" s="5" t="s">
        <v>206</v>
      </c>
      <c r="E68" s="15" t="s">
        <v>207</v>
      </c>
      <c r="F68" s="9" t="s">
        <v>32</v>
      </c>
      <c r="G68" s="7" t="s">
        <v>37</v>
      </c>
      <c r="H68">
        <v>2</v>
      </c>
    </row>
    <row r="69" spans="1:8" ht="36" customHeight="1">
      <c r="A69" s="2">
        <v>56</v>
      </c>
      <c r="B69" s="3"/>
      <c r="C69" s="4" t="s">
        <v>208</v>
      </c>
      <c r="D69" s="5" t="s">
        <v>209</v>
      </c>
      <c r="E69" s="15" t="s">
        <v>210</v>
      </c>
      <c r="F69" s="8" t="s">
        <v>19</v>
      </c>
      <c r="G69" s="7" t="s">
        <v>83</v>
      </c>
      <c r="H69">
        <v>1</v>
      </c>
    </row>
    <row r="70" spans="1:8" ht="26.1" customHeight="1">
      <c r="A70" s="16" t="s">
        <v>211</v>
      </c>
      <c r="B70" s="17"/>
      <c r="C70" s="17"/>
      <c r="D70" s="17"/>
      <c r="E70" s="17"/>
      <c r="F70" s="17"/>
      <c r="G70" s="17"/>
      <c r="H70" s="17"/>
    </row>
    <row r="71" spans="1:8" ht="36" customHeight="1">
      <c r="A71" s="2">
        <v>57</v>
      </c>
      <c r="B71" s="3"/>
      <c r="C71" s="4" t="s">
        <v>212</v>
      </c>
      <c r="D71" s="5" t="s">
        <v>213</v>
      </c>
      <c r="E71" s="15" t="s">
        <v>214</v>
      </c>
      <c r="F71" s="9" t="s">
        <v>32</v>
      </c>
      <c r="G71" s="7" t="s">
        <v>37</v>
      </c>
      <c r="H71">
        <v>2</v>
      </c>
    </row>
    <row r="72" spans="1:8" ht="36" customHeight="1">
      <c r="A72" s="2">
        <v>58</v>
      </c>
      <c r="B72" s="3"/>
      <c r="C72" s="4" t="s">
        <v>215</v>
      </c>
      <c r="D72" s="5" t="s">
        <v>216</v>
      </c>
      <c r="E72" s="15" t="s">
        <v>217</v>
      </c>
      <c r="F72" s="9" t="s">
        <v>32</v>
      </c>
      <c r="G72" s="7" t="s">
        <v>37</v>
      </c>
      <c r="H72">
        <v>3</v>
      </c>
    </row>
    <row r="73" spans="1:8" ht="36" customHeight="1">
      <c r="A73" s="2">
        <v>59</v>
      </c>
      <c r="B73" s="3"/>
      <c r="C73" s="4" t="s">
        <v>218</v>
      </c>
      <c r="D73" s="5" t="s">
        <v>219</v>
      </c>
      <c r="E73" s="15" t="s">
        <v>220</v>
      </c>
      <c r="F73" s="9" t="s">
        <v>32</v>
      </c>
      <c r="G73" s="7" t="s">
        <v>154</v>
      </c>
      <c r="H73">
        <v>3.5</v>
      </c>
    </row>
    <row r="74" spans="1:8" ht="26.1" customHeight="1">
      <c r="A74" s="16" t="s">
        <v>221</v>
      </c>
      <c r="B74" s="17"/>
      <c r="C74" s="17"/>
      <c r="D74" s="17"/>
      <c r="E74" s="17"/>
      <c r="F74" s="17"/>
      <c r="G74" s="17"/>
      <c r="H74" s="17"/>
    </row>
    <row r="75" spans="1:8" ht="36" customHeight="1">
      <c r="A75" s="2">
        <v>60</v>
      </c>
      <c r="B75" s="3"/>
      <c r="C75" s="4" t="s">
        <v>222</v>
      </c>
      <c r="D75" s="5" t="s">
        <v>223</v>
      </c>
      <c r="E75" s="15" t="s">
        <v>224</v>
      </c>
      <c r="F75" s="9" t="s">
        <v>32</v>
      </c>
      <c r="G75" s="7" t="s">
        <v>225</v>
      </c>
      <c r="H75">
        <v>3</v>
      </c>
    </row>
    <row r="76" spans="1:8" ht="36" customHeight="1">
      <c r="A76" s="2">
        <v>61</v>
      </c>
      <c r="B76" s="3"/>
      <c r="C76" s="4" t="s">
        <v>226</v>
      </c>
      <c r="D76" s="5" t="s">
        <v>227</v>
      </c>
      <c r="E76" s="15" t="s">
        <v>228</v>
      </c>
      <c r="F76" s="9" t="s">
        <v>32</v>
      </c>
      <c r="G76" s="7" t="s">
        <v>37</v>
      </c>
      <c r="H76">
        <v>3</v>
      </c>
    </row>
    <row r="77" spans="1:8" ht="36" customHeight="1">
      <c r="A77" s="2">
        <v>62</v>
      </c>
      <c r="B77" s="3"/>
      <c r="C77" s="4" t="s">
        <v>229</v>
      </c>
      <c r="D77" s="5" t="s">
        <v>230</v>
      </c>
      <c r="E77" s="15" t="s">
        <v>231</v>
      </c>
      <c r="F77" s="9" t="s">
        <v>32</v>
      </c>
      <c r="G77" s="7" t="s">
        <v>147</v>
      </c>
      <c r="H77">
        <v>2</v>
      </c>
    </row>
    <row r="78" spans="1:8" ht="36" customHeight="1">
      <c r="A78" s="2">
        <v>63</v>
      </c>
      <c r="B78" s="3"/>
      <c r="C78" s="4" t="s">
        <v>232</v>
      </c>
      <c r="D78" s="5" t="s">
        <v>233</v>
      </c>
      <c r="E78" s="15" t="s">
        <v>234</v>
      </c>
      <c r="F78" s="9" t="s">
        <v>32</v>
      </c>
      <c r="G78" s="7" t="s">
        <v>147</v>
      </c>
      <c r="H78">
        <v>2.5</v>
      </c>
    </row>
    <row r="79" spans="1:8" ht="36" customHeight="1">
      <c r="A79" s="2">
        <v>64</v>
      </c>
      <c r="B79" s="3"/>
      <c r="C79" s="4" t="s">
        <v>235</v>
      </c>
      <c r="D79" s="5" t="s">
        <v>236</v>
      </c>
      <c r="E79" s="15" t="s">
        <v>237</v>
      </c>
      <c r="F79" s="9" t="s">
        <v>32</v>
      </c>
      <c r="G79" s="7" t="s">
        <v>238</v>
      </c>
      <c r="H79">
        <v>2</v>
      </c>
    </row>
    <row r="80" spans="1:8" ht="26.1" customHeight="1">
      <c r="A80" s="16" t="s">
        <v>239</v>
      </c>
      <c r="B80" s="17"/>
      <c r="C80" s="17"/>
      <c r="D80" s="17"/>
      <c r="E80" s="17"/>
      <c r="F80" s="17"/>
      <c r="G80" s="17"/>
      <c r="H80" s="17"/>
    </row>
    <row r="81" spans="1:8" ht="36" customHeight="1">
      <c r="A81" s="2">
        <v>65</v>
      </c>
      <c r="B81" s="3"/>
      <c r="C81" s="4" t="s">
        <v>240</v>
      </c>
      <c r="D81" s="5" t="s">
        <v>241</v>
      </c>
      <c r="E81" s="15" t="s">
        <v>242</v>
      </c>
      <c r="F81" s="9" t="s">
        <v>32</v>
      </c>
      <c r="G81" s="7" t="s">
        <v>243</v>
      </c>
      <c r="H81">
        <v>3.5</v>
      </c>
    </row>
    <row r="82" spans="1:8" ht="36" customHeight="1">
      <c r="A82" s="2">
        <v>66</v>
      </c>
      <c r="B82" s="3"/>
      <c r="C82" s="4" t="s">
        <v>244</v>
      </c>
      <c r="D82" s="5" t="s">
        <v>245</v>
      </c>
      <c r="E82" s="15" t="s">
        <v>246</v>
      </c>
      <c r="F82" s="9" t="s">
        <v>32</v>
      </c>
      <c r="G82" s="7" t="s">
        <v>37</v>
      </c>
      <c r="H82">
        <v>2.5</v>
      </c>
    </row>
    <row r="83" spans="1:8" ht="36" customHeight="1">
      <c r="A83" s="2">
        <v>67</v>
      </c>
      <c r="B83" s="3"/>
      <c r="C83" s="4" t="s">
        <v>247</v>
      </c>
      <c r="D83" s="5" t="s">
        <v>248</v>
      </c>
      <c r="E83" s="15" t="s">
        <v>249</v>
      </c>
      <c r="F83" s="9" t="s">
        <v>32</v>
      </c>
      <c r="G83" s="7" t="s">
        <v>37</v>
      </c>
      <c r="H83">
        <v>4</v>
      </c>
    </row>
    <row r="84" spans="1:8" ht="36" customHeight="1">
      <c r="A84" s="2">
        <v>68</v>
      </c>
      <c r="B84" s="3"/>
      <c r="C84" s="4" t="s">
        <v>250</v>
      </c>
      <c r="D84" s="5" t="s">
        <v>251</v>
      </c>
      <c r="E84" s="15" t="s">
        <v>252</v>
      </c>
      <c r="F84" s="9" t="s">
        <v>32</v>
      </c>
      <c r="G84" s="7" t="s">
        <v>253</v>
      </c>
      <c r="H84">
        <v>3</v>
      </c>
    </row>
    <row r="85" spans="1:8" ht="36" customHeight="1">
      <c r="A85" s="2">
        <v>69</v>
      </c>
      <c r="B85" s="3"/>
      <c r="C85" s="4" t="s">
        <v>254</v>
      </c>
      <c r="D85" s="5" t="s">
        <v>255</v>
      </c>
      <c r="E85" s="15" t="s">
        <v>256</v>
      </c>
      <c r="F85" s="9" t="s">
        <v>32</v>
      </c>
      <c r="G85" s="7" t="s">
        <v>243</v>
      </c>
      <c r="H85">
        <v>4</v>
      </c>
    </row>
    <row r="86" spans="1:8" ht="26.1" customHeight="1">
      <c r="A86" s="16" t="s">
        <v>257</v>
      </c>
      <c r="B86" s="17"/>
      <c r="C86" s="17"/>
      <c r="D86" s="17"/>
      <c r="E86" s="17"/>
      <c r="F86" s="17"/>
      <c r="G86" s="17"/>
      <c r="H86" s="17"/>
    </row>
    <row r="87" spans="1:8" ht="36" customHeight="1">
      <c r="A87" s="2">
        <v>70</v>
      </c>
      <c r="B87" s="3"/>
      <c r="C87" s="4" t="s">
        <v>258</v>
      </c>
      <c r="D87" s="5" t="s">
        <v>259</v>
      </c>
      <c r="E87" s="15" t="s">
        <v>260</v>
      </c>
      <c r="F87" s="6" t="s">
        <v>14</v>
      </c>
      <c r="G87" s="7" t="s">
        <v>261</v>
      </c>
      <c r="H87">
        <v>7</v>
      </c>
    </row>
    <row r="88" spans="1:8" ht="36" customHeight="1">
      <c r="A88" s="2">
        <v>71</v>
      </c>
      <c r="B88" s="3"/>
      <c r="C88" s="4" t="s">
        <v>262</v>
      </c>
      <c r="D88" s="5" t="s">
        <v>263</v>
      </c>
      <c r="E88" s="15" t="s">
        <v>264</v>
      </c>
      <c r="F88" s="6" t="s">
        <v>14</v>
      </c>
      <c r="G88" s="7" t="s">
        <v>261</v>
      </c>
      <c r="H88">
        <v>6.5</v>
      </c>
    </row>
    <row r="89" spans="1:8" ht="36" customHeight="1">
      <c r="A89" s="2">
        <v>72</v>
      </c>
      <c r="B89" s="3"/>
      <c r="C89" s="4" t="s">
        <v>265</v>
      </c>
      <c r="D89" s="5" t="s">
        <v>266</v>
      </c>
      <c r="E89" s="15" t="s">
        <v>267</v>
      </c>
      <c r="F89" s="6" t="s">
        <v>14</v>
      </c>
      <c r="G89" s="7" t="s">
        <v>268</v>
      </c>
      <c r="H89">
        <v>5</v>
      </c>
    </row>
    <row r="90" spans="1:8" ht="36" customHeight="1">
      <c r="A90" s="2">
        <v>73</v>
      </c>
      <c r="B90" s="3"/>
      <c r="C90" s="4" t="s">
        <v>269</v>
      </c>
      <c r="D90" s="5" t="s">
        <v>270</v>
      </c>
      <c r="E90" s="15" t="s">
        <v>271</v>
      </c>
      <c r="F90" s="6" t="s">
        <v>14</v>
      </c>
      <c r="G90" s="7" t="s">
        <v>268</v>
      </c>
      <c r="H90">
        <v>5</v>
      </c>
    </row>
    <row r="91" spans="1:8" ht="36" customHeight="1">
      <c r="A91" s="2">
        <v>74</v>
      </c>
      <c r="B91" s="3"/>
      <c r="C91" s="4" t="s">
        <v>272</v>
      </c>
      <c r="D91" s="5" t="s">
        <v>273</v>
      </c>
      <c r="E91" s="15" t="s">
        <v>274</v>
      </c>
      <c r="F91" s="9" t="s">
        <v>32</v>
      </c>
      <c r="G91" s="7" t="s">
        <v>52</v>
      </c>
      <c r="H91">
        <v>2.5</v>
      </c>
    </row>
    <row r="92" spans="1:8" ht="36" customHeight="1">
      <c r="A92" s="2">
        <v>75</v>
      </c>
      <c r="B92" s="3"/>
      <c r="C92" s="4" t="s">
        <v>275</v>
      </c>
      <c r="D92" s="5" t="s">
        <v>276</v>
      </c>
      <c r="E92" s="15" t="s">
        <v>277</v>
      </c>
      <c r="F92" s="9" t="s">
        <v>32</v>
      </c>
      <c r="G92" s="7" t="s">
        <v>52</v>
      </c>
      <c r="H92">
        <v>4</v>
      </c>
    </row>
    <row r="93" spans="1:8" ht="26.1" customHeight="1">
      <c r="A93" s="16" t="s">
        <v>278</v>
      </c>
      <c r="B93" s="17"/>
      <c r="C93" s="17"/>
      <c r="D93" s="17"/>
      <c r="E93" s="17"/>
      <c r="F93" s="17"/>
      <c r="G93" s="17"/>
      <c r="H93" s="17"/>
    </row>
    <row r="94" spans="1:8" ht="36" customHeight="1">
      <c r="A94" s="2">
        <v>76</v>
      </c>
      <c r="B94" s="3"/>
      <c r="C94" s="4" t="s">
        <v>279</v>
      </c>
      <c r="D94" s="5" t="s">
        <v>280</v>
      </c>
      <c r="E94" s="15" t="s">
        <v>281</v>
      </c>
      <c r="F94" s="6" t="s">
        <v>14</v>
      </c>
      <c r="G94" s="11" t="s">
        <v>282</v>
      </c>
      <c r="H94">
        <v>5</v>
      </c>
    </row>
    <row r="95" spans="1:8" ht="36" customHeight="1">
      <c r="A95" s="2">
        <v>77</v>
      </c>
      <c r="B95" s="3"/>
      <c r="C95" s="4" t="s">
        <v>283</v>
      </c>
      <c r="D95" s="5" t="s">
        <v>284</v>
      </c>
      <c r="E95" s="15" t="s">
        <v>285</v>
      </c>
      <c r="F95" s="9" t="s">
        <v>32</v>
      </c>
      <c r="G95" s="11" t="s">
        <v>282</v>
      </c>
      <c r="H95">
        <v>3</v>
      </c>
    </row>
    <row r="96" spans="1:8" ht="36" customHeight="1">
      <c r="A96" s="2">
        <v>78</v>
      </c>
      <c r="B96" s="3"/>
      <c r="C96" s="4" t="s">
        <v>286</v>
      </c>
      <c r="D96" s="5" t="s">
        <v>287</v>
      </c>
      <c r="E96" s="15" t="s">
        <v>288</v>
      </c>
      <c r="F96" s="9" t="s">
        <v>32</v>
      </c>
      <c r="G96" s="11" t="s">
        <v>282</v>
      </c>
      <c r="H96">
        <v>3</v>
      </c>
    </row>
    <row r="97" spans="1:8" ht="32.1" customHeight="1">
      <c r="A97" s="21" t="s">
        <v>289</v>
      </c>
      <c r="B97" s="22"/>
      <c r="C97" s="22"/>
      <c r="D97" s="22"/>
      <c r="E97" s="22"/>
      <c r="F97" s="23"/>
      <c r="G97" s="12" t="s">
        <v>290</v>
      </c>
      <c r="H97">
        <f>SUM(H6:H20,H22:H27,H29:H34,H36:H39,H41:H49,H51:H55,H57:H61,H63:H65,H67:H69,H71:H73,H75:H79,H81:H85,H87:H92,H94:H96)</f>
        <v>265</v>
      </c>
    </row>
    <row r="98" spans="1:8" ht="32.1" customHeight="1">
      <c r="A98" s="21" t="s">
        <v>291</v>
      </c>
      <c r="B98" s="22"/>
      <c r="C98" s="22"/>
      <c r="D98" s="22"/>
      <c r="E98" s="22"/>
      <c r="F98" s="23"/>
      <c r="G98" s="13" t="e">
        <f>#REF!/#REF!</f>
        <v>#REF!</v>
      </c>
    </row>
    <row r="99" spans="1:8" ht="20.100000000000001" customHeight="1">
      <c r="A99" s="20" t="s">
        <v>292</v>
      </c>
      <c r="B99" s="17"/>
      <c r="C99" s="17"/>
      <c r="D99" s="17"/>
      <c r="E99" s="17"/>
      <c r="F99" s="17"/>
      <c r="G99" s="17"/>
    </row>
    <row r="100" spans="1:8" ht="20.100000000000001" customHeight="1">
      <c r="A100" s="18" t="s">
        <v>293</v>
      </c>
      <c r="B100" s="17"/>
      <c r="C100" s="17"/>
      <c r="D100" s="17"/>
      <c r="E100" s="17"/>
      <c r="F100" s="17"/>
      <c r="G100" s="17"/>
    </row>
    <row r="101" spans="1:8" ht="20.100000000000001" customHeight="1">
      <c r="A101" s="18" t="s">
        <v>294</v>
      </c>
      <c r="B101" s="17"/>
      <c r="C101" s="17"/>
      <c r="D101" s="17"/>
      <c r="E101" s="17"/>
      <c r="F101" s="17"/>
      <c r="G101" s="17"/>
    </row>
    <row r="102" spans="1:8" ht="20.100000000000001" customHeight="1">
      <c r="A102" s="18" t="s">
        <v>295</v>
      </c>
      <c r="B102" s="17"/>
      <c r="C102" s="17"/>
      <c r="D102" s="17"/>
      <c r="E102" s="17"/>
      <c r="F102" s="17"/>
      <c r="G102" s="17"/>
    </row>
    <row r="103" spans="1:8" ht="20.100000000000001" customHeight="1">
      <c r="A103" s="18"/>
      <c r="B103" s="17"/>
      <c r="C103" s="17"/>
      <c r="D103" s="17"/>
      <c r="E103" s="17"/>
      <c r="F103" s="17"/>
      <c r="G103" s="17"/>
    </row>
    <row r="104" spans="1:8" ht="20.100000000000001" customHeight="1">
      <c r="A104" s="20" t="s">
        <v>296</v>
      </c>
      <c r="B104" s="17"/>
      <c r="C104" s="17"/>
      <c r="D104" s="17"/>
      <c r="E104" s="17"/>
      <c r="F104" s="17"/>
      <c r="G104" s="17"/>
    </row>
    <row r="105" spans="1:8" ht="20.100000000000001" customHeight="1">
      <c r="A105" s="18" t="s">
        <v>297</v>
      </c>
      <c r="B105" s="17"/>
      <c r="C105" s="17"/>
      <c r="D105" s="17"/>
      <c r="E105" s="17"/>
      <c r="F105" s="17"/>
      <c r="G105" s="17"/>
    </row>
    <row r="106" spans="1:8" ht="20.100000000000001" customHeight="1">
      <c r="A106" s="18" t="s">
        <v>298</v>
      </c>
      <c r="B106" s="17"/>
      <c r="C106" s="17"/>
      <c r="D106" s="17"/>
      <c r="E106" s="17"/>
      <c r="F106" s="17"/>
      <c r="G106" s="17"/>
    </row>
    <row r="107" spans="1:8" ht="20.100000000000001" customHeight="1">
      <c r="A107" s="18" t="s">
        <v>299</v>
      </c>
      <c r="B107" s="17"/>
      <c r="C107" s="17"/>
      <c r="D107" s="17"/>
      <c r="E107" s="17"/>
      <c r="F107" s="17"/>
      <c r="G107" s="17"/>
    </row>
  </sheetData>
  <mergeCells count="27">
    <mergeCell ref="A1:H1"/>
    <mergeCell ref="A70:H70"/>
    <mergeCell ref="A102:G102"/>
    <mergeCell ref="A2:G2"/>
    <mergeCell ref="A104:G104"/>
    <mergeCell ref="A40:H40"/>
    <mergeCell ref="A106:G106"/>
    <mergeCell ref="A100:G100"/>
    <mergeCell ref="A98:F98"/>
    <mergeCell ref="A50:H50"/>
    <mergeCell ref="A21:H21"/>
    <mergeCell ref="A86:H86"/>
    <mergeCell ref="A5:H5"/>
    <mergeCell ref="A99:G99"/>
    <mergeCell ref="A97:F97"/>
    <mergeCell ref="A35:H35"/>
    <mergeCell ref="A62:H62"/>
    <mergeCell ref="A28:H28"/>
    <mergeCell ref="A93:H93"/>
    <mergeCell ref="A66:H66"/>
    <mergeCell ref="A107:G107"/>
    <mergeCell ref="A80:H80"/>
    <mergeCell ref="A56:H56"/>
    <mergeCell ref="A103:G103"/>
    <mergeCell ref="A74:H74"/>
    <mergeCell ref="A101:G101"/>
    <mergeCell ref="A105:G10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宗良 薛</cp:lastModifiedBy>
  <dcterms:created xsi:type="dcterms:W3CDTF">2015-06-05T18:19:34Z</dcterms:created>
  <dcterms:modified xsi:type="dcterms:W3CDTF">2026-07-10T08:12:47Z</dcterms:modified>
</cp:coreProperties>
</file>